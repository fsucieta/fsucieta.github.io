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<sst xmlns="http://schemas.openxmlformats.org/spreadsheetml/2006/main" count="32" uniqueCount="32">
  <si>
    <t>L'OCHJU — AUDIT FORENSIQUE BANQUE DE FRANCE &amp; RATIO DE TRANSFORMATION EN CORSE</t>
  </si>
  <si>
    <t>Agrégat Financier &amp; Monétaire</t>
  </si>
  <si>
    <t>Montant Brut (€)</t>
  </si>
  <si>
    <t>Déduction Forensique (€)</t>
  </si>
  <si>
    <t>Montant Réel Net (€)</t>
  </si>
  <si>
    <t>Dépôts Bancaires Bilanciels (Banque de France Webstat CFTDC)</t>
  </si>
  <si>
    <t>- Comptes de dépôts à vue (rémunérés à 0,00 %)</t>
  </si>
  <si>
    <t>- Livrets d'épargne réglementée (Livret A, LDDS, LEP)</t>
  </si>
  <si>
    <t>- Épargne contractuelle et comptes à terme (PEL, CEL, CAT)</t>
  </si>
  <si>
    <t>Crédits Bancaires Apparents Octroyés en Corse</t>
  </si>
  <si>
    <t>- Déduction : Résidences secondaires &amp; SCI non-résidentes littoral</t>
  </si>
  <si>
    <t>Crédits Productifs Réels Alloués aux Résidents Corses</t>
  </si>
  <si>
    <t>Déficit de Financement / Fuite Nette de Trésorerie Déportée</t>
  </si>
  <si>
    <t>Ratio de Transformation Réel Insulaire (RTRI)</t>
  </si>
  <si>
    <t>Ratio de Transformation Moyen Métropolitain (Continental)</t>
  </si>
  <si>
    <t>Écart de Financement par rapport à la Moyenne Nationale</t>
  </si>
  <si>
    <t>CALCUL FORENSIQUE DE LA RENTE D'ARBITRAGE NOCTURNE (CASH POOLING)</t>
  </si>
  <si>
    <t>Trésorerie Corse Nivelée vers Paris/Marseille chaque soir à 17h30</t>
  </si>
  <si>
    <t>euros</t>
  </si>
  <si>
    <t>Aspiration Target2 L. 512-47 CMF</t>
  </si>
  <si>
    <t>Coût de la ressource pour la banque (Comptes de dépôt à vue)</t>
  </si>
  <si>
    <t>taux débiteur</t>
  </si>
  <si>
    <t>0,00 % d'intérêt servi</t>
  </si>
  <si>
    <t>Taux de placement BCE Facilité de Dépôt (DFR 2025-2026)</t>
  </si>
  <si>
    <t>taux créditeur</t>
  </si>
  <si>
    <t>3,65 % annuel garanti</t>
  </si>
  <si>
    <t>Rente Annuelle Nette d'Arbitrage Captée Hors de Corse (€ / an)</t>
  </si>
  <si>
    <t>euros / an</t>
  </si>
  <si>
    <t>Rente de spread sans risque</t>
  </si>
  <si>
    <t>Rente Cumulée Confisquée sur le Cycle Récent (2023-2026)</t>
  </si>
  <si>
    <t>euros cumulés</t>
  </si>
  <si>
    <t>Près de 380 Millions d'Euros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</si>
</sst>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>
      <selection activeCell="A1" sqref="A1"/>
    </sheetView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>
        <v>6420000000</v>
      </c>
      <c r="C3">
        <v>0</v>
      </c>
      <c r="D3">
        <v>6420000000</v>
      </c>
    </row>
    <row r="4">
      <c r="A4" t="s">
        <v>6</v>
      </c>
      <c r="B4">
        <v>2645000000</v>
      </c>
      <c r="C4">
        <v>0</v>
      </c>
      <c r="D4">
        <v>2645000000</v>
      </c>
    </row>
    <row r="5">
      <c r="A5" t="s">
        <v>7</v>
      </c>
      <c r="B5">
        <v>2255000000</v>
      </c>
      <c r="C5">
        <v>0</v>
      </c>
      <c r="D5">
        <v>2255000000</v>
      </c>
    </row>
    <row r="6">
      <c r="A6" t="s">
        <v>8</v>
      </c>
      <c r="B6">
        <v>1520000000</v>
      </c>
      <c r="C6">
        <v>0</v>
      </c>
      <c r="D6">
        <v>1520000000</v>
      </c>
    </row>
    <row r="7">
      <c r="A7" t="s">
        <v>9</v>
      </c>
      <c r="B7">
        <v>4480000000</v>
      </c>
      <c r="C7">
        <v>630000000</v>
      </c>
      <c r="D7">
        <f>B7-C7</f>
        <v>3850000000</v>
      </c>
    </row>
    <row r="8">
      <c r="A8" t="s">
        <v>10</v>
      </c>
      <c r="B8">
        <v>630000000</v>
      </c>
      <c r="C8">
        <v>0</v>
      </c>
      <c r="D8">
        <v>0</v>
      </c>
    </row>
    <row r="9">
      <c r="A9" t="s">
        <v>11</v>
      </c>
      <c r="B9">
        <v>3850000000</v>
      </c>
      <c r="C9">
        <v>0</v>
      </c>
      <c r="D9">
        <v>3850000000</v>
      </c>
    </row>
    <row r="10">
      <c r="A10" t="s">
        <v>12</v>
      </c>
      <c r="B10">
        <f>D3-D9</f>
        <v>2570000000</v>
      </c>
      <c r="C10">
        <v>0</v>
      </c>
      <c r="D10">
        <f>B10</f>
        <v>2570000000</v>
      </c>
    </row>
    <row r="11">
      <c r="A11" t="s">
        <v>13</v>
      </c>
      <c r="B11">
        <f>D9/D3</f>
        <v>0.5996884735202492</v>
      </c>
      <c r="C11">
        <v>0</v>
      </c>
      <c r="D11">
        <f>B11</f>
        <v>0.5996884735202492</v>
      </c>
    </row>
    <row r="12">
      <c r="A12" t="s">
        <v>14</v>
      </c>
      <c r="B12">
        <v>1.024</v>
      </c>
      <c r="C12">
        <v>0</v>
      </c>
      <c r="D12">
        <v>1.024</v>
      </c>
    </row>
    <row r="13">
      <c r="A13" t="s">
        <v>15</v>
      </c>
      <c r="B13">
        <f>B11-B12</f>
        <v>-0.4243115264797508</v>
      </c>
      <c r="C13">
        <v>0</v>
      </c>
      <c r="D13">
        <f>B13</f>
        <v>-0.4243115264797508</v>
      </c>
    </row>
    <row r="15">
      <c r="A15" t="s">
        <v>16</v>
      </c>
    </row>
    <row r="16">
      <c r="A16" t="s">
        <v>17</v>
      </c>
      <c r="B16">
        <v>2570000000</v>
      </c>
      <c r="C16" t="s">
        <v>18</v>
      </c>
      <c r="D16" t="s">
        <v>19</v>
      </c>
    </row>
    <row r="17">
      <c r="A17" t="s">
        <v>20</v>
      </c>
      <c r="B17">
        <v>0</v>
      </c>
      <c r="C17" t="s">
        <v>21</v>
      </c>
      <c r="D17" t="s">
        <v>22</v>
      </c>
    </row>
    <row r="18">
      <c r="A18" t="s">
        <v>23</v>
      </c>
      <c r="B18">
        <v>0.0365</v>
      </c>
      <c r="C18" t="s">
        <v>24</v>
      </c>
      <c r="D18" t="s">
        <v>25</v>
      </c>
    </row>
    <row r="19">
      <c r="A19" t="s">
        <v>26</v>
      </c>
      <c r="B19">
        <f>B16*B18</f>
        <v>93805000</v>
      </c>
      <c r="C19" t="s">
        <v>27</v>
      </c>
      <c r="D19" t="s">
        <v>28</v>
      </c>
    </row>
    <row r="20">
      <c r="A20" t="s">
        <v>29</v>
      </c>
      <c r="B20">
        <f>B19*4</f>
        <v>375220000</v>
      </c>
      <c r="C20" t="s">
        <v>30</v>
      </c>
      <c r="D20" t="s">
        <v>31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